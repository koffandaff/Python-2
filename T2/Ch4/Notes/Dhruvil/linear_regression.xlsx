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il\OneDrive\Documents\Books\"/>
    </mc:Choice>
  </mc:AlternateContent>
  <xr:revisionPtr revIDLastSave="0" documentId="8_{C709C8E9-173B-4AEC-B137-1107B0F29606}" xr6:coauthVersionLast="47" xr6:coauthVersionMax="47" xr10:uidLastSave="{00000000-0000-0000-0000-000000000000}"/>
  <bookViews>
    <workbookView xWindow="-108" yWindow="-108" windowWidth="23256" windowHeight="13176" xr2:uid="{9F1E1428-F4B4-4FAC-A9E2-62F8A9461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<sst xmlns="http://schemas.openxmlformats.org/spreadsheetml/2006/main" count="18" uniqueCount="17">
  <si>
    <t>x</t>
  </si>
  <si>
    <t>y</t>
  </si>
  <si>
    <t>x'</t>
  </si>
  <si>
    <t>y'</t>
  </si>
  <si>
    <t>x-x'</t>
  </si>
  <si>
    <t>y-y'</t>
  </si>
  <si>
    <t>(x-x')(y-y')</t>
  </si>
  <si>
    <t>(x-x')^2</t>
  </si>
  <si>
    <t>m = (x-x')(y-y') /  (x-x')^2</t>
  </si>
  <si>
    <t>c = y-mx</t>
  </si>
  <si>
    <t>y=mx+c (prediction)</t>
  </si>
  <si>
    <t>y-ypred</t>
  </si>
  <si>
    <t>ABSY</t>
  </si>
  <si>
    <t>MAE</t>
  </si>
  <si>
    <t xml:space="preserve"> </t>
  </si>
  <si>
    <t>(Y-ypred)^2</t>
  </si>
  <si>
    <t>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</si>
</sst>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08AD-1ECC-4E7B-9245-1FAF7D72D87A}">
  <dimension ref="A1:U20"/>
  <sheetViews>
    <sheetView tabSelected="1" workbookViewId="0">
      <selection activeCell="U20" sqref="U20"/>
    </sheetView>
  </sheetViews>
  <sheetFormatPr defaultRowHeight="14.4" x14ac:dyDescent="0.3"/>
  <cols>
    <col min="10" max="10" width="19.109375" bestFit="1" customWidth="1"/>
    <col min="11" max="11" width="11.6640625" customWidth="1"/>
    <col min="13" max="13" width="16.77734375" bestFit="1" customWidth="1"/>
    <col min="19" max="19" width="10.21875" bestFit="1" customWidth="1"/>
    <col min="20" max="20" width="10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M1" t="s">
        <v>10</v>
      </c>
      <c r="N1" t="s">
        <v>11</v>
      </c>
      <c r="O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3">
      <c r="A2">
        <v>15</v>
      </c>
      <c r="B2">
        <v>49</v>
      </c>
      <c r="C2">
        <v>19.93</v>
      </c>
      <c r="D2">
        <v>56.68</v>
      </c>
      <c r="E2">
        <f>A2-C2</f>
        <v>-4.93</v>
      </c>
      <c r="F2">
        <f>B2-D2</f>
        <v>-7.68</v>
      </c>
      <c r="G2">
        <f>E2*F2</f>
        <v>37.862399999999994</v>
      </c>
      <c r="H2">
        <f>E2^2</f>
        <v>24.304899999999996</v>
      </c>
      <c r="J2">
        <v>1.893946905</v>
      </c>
      <c r="K2">
        <v>19.053640000000001</v>
      </c>
      <c r="M2">
        <f>A2*J2+K2</f>
        <v>47.462843575000001</v>
      </c>
      <c r="N2">
        <f>B2-M2</f>
        <v>1.5371564249999992</v>
      </c>
      <c r="O2">
        <f>ABS(N2)</f>
        <v>1.5371564249999992</v>
      </c>
      <c r="Q2">
        <v>3.740863</v>
      </c>
      <c r="S2">
        <f>N2^2</f>
        <v>2.3628498749187781</v>
      </c>
      <c r="T2">
        <v>22.292110999999998</v>
      </c>
    </row>
    <row r="3" spans="1:20" x14ac:dyDescent="0.3">
      <c r="A3">
        <v>23</v>
      </c>
      <c r="B3">
        <v>63</v>
      </c>
      <c r="C3">
        <v>19.93</v>
      </c>
      <c r="D3">
        <v>56.68</v>
      </c>
      <c r="E3">
        <f t="shared" ref="E3:E16" si="0">A3-C3</f>
        <v>3.0700000000000003</v>
      </c>
      <c r="F3">
        <f t="shared" ref="F3:F16" si="1">B3-D3</f>
        <v>6.32</v>
      </c>
      <c r="G3">
        <f t="shared" ref="G3:G16" si="2">E3*F3</f>
        <v>19.402400000000004</v>
      </c>
      <c r="H3">
        <f t="shared" ref="H3:H16" si="3">E3^2</f>
        <v>9.4249000000000009</v>
      </c>
      <c r="J3">
        <v>1.893946905</v>
      </c>
      <c r="K3">
        <v>19.053640000000001</v>
      </c>
      <c r="M3">
        <f t="shared" ref="M3:M16" si="4">A3*J3+K3</f>
        <v>62.614418815000001</v>
      </c>
      <c r="N3">
        <f t="shared" ref="N3:N16" si="5">B3-M3</f>
        <v>0.38558118499999949</v>
      </c>
      <c r="O3">
        <f t="shared" ref="O3:O16" si="6">ABS(N3)</f>
        <v>0.38558118499999949</v>
      </c>
      <c r="S3">
        <f t="shared" ref="S3:S16" si="7">N3^2</f>
        <v>0.14867285022600382</v>
      </c>
    </row>
    <row r="4" spans="1:20" x14ac:dyDescent="0.3">
      <c r="A4">
        <v>18</v>
      </c>
      <c r="B4">
        <v>58</v>
      </c>
      <c r="C4">
        <v>19.93</v>
      </c>
      <c r="D4">
        <v>56.68</v>
      </c>
      <c r="E4">
        <f t="shared" si="0"/>
        <v>-1.9299999999999997</v>
      </c>
      <c r="F4">
        <f t="shared" si="1"/>
        <v>1.3200000000000003</v>
      </c>
      <c r="G4">
        <f t="shared" si="2"/>
        <v>-2.5476000000000001</v>
      </c>
      <c r="H4">
        <f t="shared" si="3"/>
        <v>3.724899999999999</v>
      </c>
      <c r="J4">
        <v>1.893946905</v>
      </c>
      <c r="K4">
        <v>19.053640000000001</v>
      </c>
      <c r="M4">
        <f t="shared" si="4"/>
        <v>53.144684290000001</v>
      </c>
      <c r="N4">
        <f t="shared" si="5"/>
        <v>4.8553157099999993</v>
      </c>
      <c r="O4">
        <f t="shared" si="6"/>
        <v>4.8553157099999993</v>
      </c>
      <c r="S4">
        <f t="shared" si="7"/>
        <v>23.574090643772799</v>
      </c>
    </row>
    <row r="5" spans="1:20" x14ac:dyDescent="0.3">
      <c r="A5">
        <v>23</v>
      </c>
      <c r="B5">
        <v>60</v>
      </c>
      <c r="C5">
        <v>19.93</v>
      </c>
      <c r="D5">
        <v>56.68</v>
      </c>
      <c r="E5">
        <f t="shared" si="0"/>
        <v>3.0700000000000003</v>
      </c>
      <c r="F5">
        <f t="shared" si="1"/>
        <v>3.3200000000000003</v>
      </c>
      <c r="G5">
        <f t="shared" si="2"/>
        <v>10.192400000000001</v>
      </c>
      <c r="H5">
        <f t="shared" si="3"/>
        <v>9.4249000000000009</v>
      </c>
      <c r="J5">
        <v>1.893946905</v>
      </c>
      <c r="K5">
        <v>19.053640000000001</v>
      </c>
      <c r="M5">
        <f t="shared" si="4"/>
        <v>62.614418815000001</v>
      </c>
      <c r="N5">
        <f t="shared" si="5"/>
        <v>-2.6144188150000005</v>
      </c>
      <c r="O5">
        <f t="shared" si="6"/>
        <v>2.6144188150000005</v>
      </c>
      <c r="S5">
        <f t="shared" si="7"/>
        <v>6.8351857402260068</v>
      </c>
    </row>
    <row r="6" spans="1:20" x14ac:dyDescent="0.3">
      <c r="A6">
        <v>24</v>
      </c>
      <c r="B6">
        <v>58</v>
      </c>
      <c r="C6">
        <v>19.93</v>
      </c>
      <c r="D6">
        <v>56.68</v>
      </c>
      <c r="E6">
        <f t="shared" si="0"/>
        <v>4.07</v>
      </c>
      <c r="F6">
        <f t="shared" si="1"/>
        <v>1.3200000000000003</v>
      </c>
      <c r="G6">
        <f t="shared" si="2"/>
        <v>5.3724000000000016</v>
      </c>
      <c r="H6">
        <f t="shared" si="3"/>
        <v>16.564900000000002</v>
      </c>
      <c r="J6">
        <v>1.893946905</v>
      </c>
      <c r="K6">
        <v>19.053640000000001</v>
      </c>
      <c r="M6">
        <f t="shared" si="4"/>
        <v>64.50836572</v>
      </c>
      <c r="N6">
        <f t="shared" si="5"/>
        <v>-6.5083657200000005</v>
      </c>
      <c r="O6">
        <f t="shared" si="6"/>
        <v>6.5083657200000005</v>
      </c>
      <c r="S6">
        <f t="shared" si="7"/>
        <v>42.358824345271124</v>
      </c>
    </row>
    <row r="7" spans="1:20" x14ac:dyDescent="0.3">
      <c r="A7">
        <v>22</v>
      </c>
      <c r="B7">
        <v>61</v>
      </c>
      <c r="C7">
        <v>19.93</v>
      </c>
      <c r="D7">
        <v>56.68</v>
      </c>
      <c r="E7">
        <f t="shared" si="0"/>
        <v>2.0700000000000003</v>
      </c>
      <c r="F7">
        <f t="shared" si="1"/>
        <v>4.32</v>
      </c>
      <c r="G7">
        <f t="shared" si="2"/>
        <v>8.942400000000001</v>
      </c>
      <c r="H7">
        <f t="shared" si="3"/>
        <v>4.2849000000000013</v>
      </c>
      <c r="J7">
        <v>1.893946905</v>
      </c>
      <c r="K7">
        <v>19.053640000000001</v>
      </c>
      <c r="M7">
        <f t="shared" si="4"/>
        <v>60.720471910000001</v>
      </c>
      <c r="N7">
        <f t="shared" si="5"/>
        <v>0.27952808999999945</v>
      </c>
      <c r="O7">
        <f t="shared" si="6"/>
        <v>0.27952808999999945</v>
      </c>
      <c r="S7">
        <f t="shared" si="7"/>
        <v>7.8135953099047792E-2</v>
      </c>
    </row>
    <row r="8" spans="1:20" x14ac:dyDescent="0.3">
      <c r="A8">
        <v>22</v>
      </c>
      <c r="B8">
        <v>60</v>
      </c>
      <c r="C8">
        <v>19.93</v>
      </c>
      <c r="D8">
        <v>56.68</v>
      </c>
      <c r="E8">
        <f t="shared" si="0"/>
        <v>2.0700000000000003</v>
      </c>
      <c r="F8">
        <f t="shared" si="1"/>
        <v>3.3200000000000003</v>
      </c>
      <c r="G8">
        <f t="shared" si="2"/>
        <v>6.8724000000000016</v>
      </c>
      <c r="H8">
        <f t="shared" si="3"/>
        <v>4.2849000000000013</v>
      </c>
      <c r="J8">
        <v>1.893946905</v>
      </c>
      <c r="K8">
        <v>19.053640000000001</v>
      </c>
      <c r="M8">
        <f t="shared" si="4"/>
        <v>60.720471910000001</v>
      </c>
      <c r="N8">
        <f t="shared" si="5"/>
        <v>-0.72047191000000055</v>
      </c>
      <c r="O8">
        <f t="shared" si="6"/>
        <v>0.72047191000000055</v>
      </c>
      <c r="S8">
        <f t="shared" si="7"/>
        <v>0.51907977309904885</v>
      </c>
    </row>
    <row r="9" spans="1:20" x14ac:dyDescent="0.3">
      <c r="A9">
        <v>19</v>
      </c>
      <c r="B9">
        <v>63</v>
      </c>
      <c r="C9">
        <v>19.93</v>
      </c>
      <c r="D9">
        <v>56.68</v>
      </c>
      <c r="E9">
        <f t="shared" si="0"/>
        <v>-0.92999999999999972</v>
      </c>
      <c r="F9">
        <f t="shared" si="1"/>
        <v>6.32</v>
      </c>
      <c r="G9">
        <f t="shared" si="2"/>
        <v>-5.8775999999999984</v>
      </c>
      <c r="H9">
        <f t="shared" si="3"/>
        <v>0.86489999999999945</v>
      </c>
      <c r="J9">
        <v>1.893946905</v>
      </c>
      <c r="K9">
        <v>19.053640000000001</v>
      </c>
      <c r="M9">
        <f t="shared" si="4"/>
        <v>55.038631195000001</v>
      </c>
      <c r="N9">
        <f t="shared" si="5"/>
        <v>7.9613688049999993</v>
      </c>
      <c r="O9">
        <f t="shared" si="6"/>
        <v>7.9613688049999993</v>
      </c>
      <c r="S9">
        <f t="shared" si="7"/>
        <v>63.383393249227119</v>
      </c>
    </row>
    <row r="10" spans="1:20" x14ac:dyDescent="0.3">
      <c r="A10">
        <v>19</v>
      </c>
      <c r="B10">
        <v>60</v>
      </c>
      <c r="C10">
        <v>19.93</v>
      </c>
      <c r="D10">
        <v>56.68</v>
      </c>
      <c r="E10">
        <f t="shared" si="0"/>
        <v>-0.92999999999999972</v>
      </c>
      <c r="F10">
        <f t="shared" si="1"/>
        <v>3.3200000000000003</v>
      </c>
      <c r="G10">
        <f t="shared" si="2"/>
        <v>-3.0875999999999992</v>
      </c>
      <c r="H10">
        <f t="shared" si="3"/>
        <v>0.86489999999999945</v>
      </c>
      <c r="J10">
        <v>1.893946905</v>
      </c>
      <c r="K10">
        <v>19.053640000000001</v>
      </c>
      <c r="M10">
        <f t="shared" si="4"/>
        <v>55.038631195000001</v>
      </c>
      <c r="N10">
        <f t="shared" si="5"/>
        <v>4.9613688049999993</v>
      </c>
      <c r="O10">
        <f t="shared" si="6"/>
        <v>4.9613688049999993</v>
      </c>
      <c r="S10">
        <f t="shared" si="7"/>
        <v>24.615180419227123</v>
      </c>
    </row>
    <row r="11" spans="1:20" x14ac:dyDescent="0.3">
      <c r="A11">
        <v>16</v>
      </c>
      <c r="B11">
        <v>52</v>
      </c>
      <c r="C11">
        <v>19.93</v>
      </c>
      <c r="D11">
        <v>56.68</v>
      </c>
      <c r="E11">
        <f t="shared" si="0"/>
        <v>-3.9299999999999997</v>
      </c>
      <c r="F11">
        <f t="shared" si="1"/>
        <v>-4.68</v>
      </c>
      <c r="G11">
        <f t="shared" si="2"/>
        <v>18.392399999999999</v>
      </c>
      <c r="H11">
        <f t="shared" si="3"/>
        <v>15.444899999999997</v>
      </c>
      <c r="J11">
        <v>1.893946905</v>
      </c>
      <c r="K11">
        <v>19.053640000000001</v>
      </c>
      <c r="M11">
        <f t="shared" si="4"/>
        <v>49.356790480000001</v>
      </c>
      <c r="N11">
        <f t="shared" si="5"/>
        <v>2.6432095199999992</v>
      </c>
      <c r="O11">
        <f t="shared" si="6"/>
        <v>2.6432095199999992</v>
      </c>
      <c r="S11">
        <f t="shared" si="7"/>
        <v>6.986556566618626</v>
      </c>
    </row>
    <row r="12" spans="1:20" x14ac:dyDescent="0.3">
      <c r="A12">
        <v>24</v>
      </c>
      <c r="B12">
        <v>62</v>
      </c>
      <c r="C12">
        <v>19.93</v>
      </c>
      <c r="D12">
        <v>56.68</v>
      </c>
      <c r="E12">
        <f t="shared" si="0"/>
        <v>4.07</v>
      </c>
      <c r="F12">
        <f t="shared" si="1"/>
        <v>5.32</v>
      </c>
      <c r="G12">
        <f t="shared" si="2"/>
        <v>21.652400000000004</v>
      </c>
      <c r="H12">
        <f t="shared" si="3"/>
        <v>16.564900000000002</v>
      </c>
      <c r="J12">
        <v>1.893946905</v>
      </c>
      <c r="K12">
        <v>19.053640000000001</v>
      </c>
      <c r="M12">
        <f t="shared" si="4"/>
        <v>64.50836572</v>
      </c>
      <c r="N12">
        <f t="shared" si="5"/>
        <v>-2.5083657200000005</v>
      </c>
      <c r="O12">
        <f t="shared" si="6"/>
        <v>2.5083657200000005</v>
      </c>
      <c r="S12">
        <f t="shared" si="7"/>
        <v>6.2918985852711211</v>
      </c>
    </row>
    <row r="13" spans="1:20" x14ac:dyDescent="0.3">
      <c r="A13">
        <v>11</v>
      </c>
      <c r="B13">
        <v>30</v>
      </c>
      <c r="C13">
        <v>19.93</v>
      </c>
      <c r="D13">
        <v>56.68</v>
      </c>
      <c r="E13">
        <f t="shared" si="0"/>
        <v>-8.93</v>
      </c>
      <c r="F13">
        <f t="shared" si="1"/>
        <v>-26.68</v>
      </c>
      <c r="G13">
        <f t="shared" si="2"/>
        <v>238.25239999999999</v>
      </c>
      <c r="H13">
        <f t="shared" si="3"/>
        <v>79.744900000000001</v>
      </c>
      <c r="J13">
        <v>1.893946905</v>
      </c>
      <c r="K13">
        <v>19.053640000000001</v>
      </c>
      <c r="M13">
        <f t="shared" si="4"/>
        <v>39.887055955000001</v>
      </c>
      <c r="N13">
        <f t="shared" si="5"/>
        <v>-9.887055955000001</v>
      </c>
      <c r="O13">
        <f t="shared" si="6"/>
        <v>9.887055955000001</v>
      </c>
      <c r="S13">
        <f t="shared" si="7"/>
        <v>97.753875457300978</v>
      </c>
    </row>
    <row r="14" spans="1:20" x14ac:dyDescent="0.3">
      <c r="A14">
        <v>24</v>
      </c>
      <c r="B14">
        <v>59</v>
      </c>
      <c r="C14">
        <v>19.93</v>
      </c>
      <c r="D14">
        <v>56.68</v>
      </c>
      <c r="E14">
        <f t="shared" si="0"/>
        <v>4.07</v>
      </c>
      <c r="F14">
        <f t="shared" si="1"/>
        <v>2.3200000000000003</v>
      </c>
      <c r="G14">
        <f t="shared" si="2"/>
        <v>9.442400000000001</v>
      </c>
      <c r="H14">
        <f t="shared" si="3"/>
        <v>16.564900000000002</v>
      </c>
      <c r="J14">
        <v>1.893946905</v>
      </c>
      <c r="K14">
        <v>19.053640000000001</v>
      </c>
      <c r="M14">
        <f t="shared" si="4"/>
        <v>64.50836572</v>
      </c>
      <c r="N14">
        <f t="shared" si="5"/>
        <v>-5.5083657200000005</v>
      </c>
      <c r="O14">
        <f t="shared" si="6"/>
        <v>5.5083657200000005</v>
      </c>
      <c r="S14">
        <f t="shared" si="7"/>
        <v>30.342092905271123</v>
      </c>
    </row>
    <row r="15" spans="1:20" x14ac:dyDescent="0.3">
      <c r="A15">
        <v>16</v>
      </c>
      <c r="B15">
        <v>49</v>
      </c>
      <c r="C15">
        <v>19.93</v>
      </c>
      <c r="D15">
        <v>56.68</v>
      </c>
      <c r="E15">
        <f t="shared" si="0"/>
        <v>-3.9299999999999997</v>
      </c>
      <c r="F15">
        <f t="shared" si="1"/>
        <v>-7.68</v>
      </c>
      <c r="G15">
        <f t="shared" si="2"/>
        <v>30.182399999999998</v>
      </c>
      <c r="H15">
        <f t="shared" si="3"/>
        <v>15.444899999999997</v>
      </c>
      <c r="J15">
        <v>1.893946905</v>
      </c>
      <c r="K15">
        <v>19.053640000000001</v>
      </c>
      <c r="M15">
        <f t="shared" si="4"/>
        <v>49.356790480000001</v>
      </c>
      <c r="N15">
        <f t="shared" si="5"/>
        <v>-0.3567904800000008</v>
      </c>
      <c r="O15">
        <f t="shared" si="6"/>
        <v>0.3567904800000008</v>
      </c>
      <c r="S15">
        <f t="shared" si="7"/>
        <v>0.12729944661863096</v>
      </c>
    </row>
    <row r="16" spans="1:20" x14ac:dyDescent="0.3">
      <c r="A16">
        <v>23</v>
      </c>
      <c r="B16">
        <v>68</v>
      </c>
      <c r="C16">
        <v>19.93</v>
      </c>
      <c r="D16">
        <v>56.68</v>
      </c>
      <c r="E16">
        <f t="shared" si="0"/>
        <v>3.0700000000000003</v>
      </c>
      <c r="F16">
        <f t="shared" si="1"/>
        <v>11.32</v>
      </c>
      <c r="G16">
        <f t="shared" si="2"/>
        <v>34.752400000000002</v>
      </c>
      <c r="H16">
        <f t="shared" si="3"/>
        <v>9.4249000000000009</v>
      </c>
      <c r="J16">
        <v>1.893946905</v>
      </c>
      <c r="K16">
        <v>19.053640000000001</v>
      </c>
      <c r="M16">
        <f t="shared" si="4"/>
        <v>62.614418815000001</v>
      </c>
      <c r="N16">
        <f t="shared" si="5"/>
        <v>5.3855811849999995</v>
      </c>
      <c r="O16">
        <f t="shared" si="6"/>
        <v>5.3855811849999995</v>
      </c>
      <c r="S16">
        <f t="shared" si="7"/>
        <v>29.004484700225998</v>
      </c>
    </row>
    <row r="18" spans="7:21" x14ac:dyDescent="0.3">
      <c r="G18">
        <v>429.8</v>
      </c>
      <c r="H18">
        <v>226.93350000000001</v>
      </c>
    </row>
    <row r="20" spans="7:21" x14ac:dyDescent="0.3">
      <c r="U2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dhruvil Adroja</dc:creator>
  <cp:lastModifiedBy>dhruvil Adroja</cp:lastModifiedBy>
  <dcterms:created xsi:type="dcterms:W3CDTF">2026-04-11T03:28:56Z</dcterms:created>
  <dcterms:modified xsi:type="dcterms:W3CDTF">2026-04-11T04:12:29Z</dcterms:modified>
</cp:coreProperties>
</file>